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0" windowWidth="28755" windowHeight="12855"/>
  </bookViews>
  <sheets>
    <sheet name="TAB" sheetId="1" r:id="rId1"/>
    <sheet name="ITEMS" sheetId="3" r:id="rId2"/>
    <sheet name="LOG" sheetId="2" r:id="rId3"/>
  </sheets>
  <functionGroups/>
  <definedNames>
    <definedName name="base_act">TAB!$Q$5</definedName>
    <definedName name="base_adg">TAB!$I$5</definedName>
    <definedName name="base_crt">TAB!$K$5</definedName>
    <definedName name="base_ctr">TAB!$M$5</definedName>
    <definedName name="base_ddg">TAB!$G$5</definedName>
    <definedName name="base_dmg">TAB!$E$5</definedName>
    <definedName name="base_lfe">TAB!$O$5</definedName>
    <definedName name="contr_mod">TAB!$D$26</definedName>
    <definedName name="crt_mod">TAB!$D$25</definedName>
    <definedName name="dam_dist">TAB!$D$24</definedName>
    <definedName name="levels">TAB!$T$4:$T$1000</definedName>
    <definedName name="max_char" localSheetId="0">TAB!$D$21</definedName>
    <definedName name="max_skill">TAB!$D$22</definedName>
    <definedName name="stat_sum">TAB!$D$23</definedName>
    <definedName name="var">TAB!$D$21</definedName>
    <definedName name="weapons">ITEMS!$B$7:$C$26</definedName>
  </definedNames>
  <calcPr calcId="125725"/>
</workbook>
</file>

<file path=xl/calcChain.xml><?xml version="1.0" encoding="utf-8"?>
<calcChain xmlns="http://schemas.openxmlformats.org/spreadsheetml/2006/main">
  <c r="D7" i="3"/>
  <c r="E7" s="1"/>
  <c r="E4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8"/>
  <c r="C4"/>
  <c r="D4"/>
  <c r="F4"/>
  <c r="G4"/>
  <c r="H4"/>
  <c r="I4"/>
  <c r="J4"/>
  <c r="L4"/>
  <c r="M4"/>
  <c r="N4"/>
  <c r="O4"/>
  <c r="P4"/>
  <c r="Q4"/>
  <c r="R4"/>
  <c r="S4"/>
  <c r="T4"/>
  <c r="B4"/>
  <c r="B1"/>
  <c r="C1"/>
  <c r="D1"/>
  <c r="F1"/>
  <c r="G1"/>
  <c r="H1"/>
  <c r="I1"/>
  <c r="J1"/>
  <c r="K1"/>
  <c r="L1"/>
  <c r="M1"/>
  <c r="N1"/>
  <c r="O1"/>
  <c r="P1"/>
  <c r="Q1"/>
  <c r="R1"/>
  <c r="S1"/>
  <c r="T1"/>
  <c r="U1"/>
  <c r="V1"/>
  <c r="W1"/>
  <c r="A1"/>
  <c r="V26" i="1"/>
  <c r="B26" i="3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D23" i="1"/>
  <c r="V4"/>
  <c r="V5" s="1"/>
  <c r="V6" s="1"/>
  <c r="V7" s="1"/>
  <c r="V8" s="1"/>
  <c r="V9" s="1"/>
  <c r="V10" s="1"/>
  <c r="V11" s="1"/>
  <c r="V12" s="1"/>
  <c r="V13" s="1"/>
  <c r="V14" s="1"/>
  <c r="V15" s="1"/>
  <c r="V16" s="1"/>
  <c r="V17" s="1"/>
  <c r="V18" s="1"/>
  <c r="V19" s="1"/>
  <c r="V20" s="1"/>
  <c r="V21" s="1"/>
  <c r="V22" s="1"/>
  <c r="V23" s="1"/>
  <c r="V24" s="1"/>
  <c r="V25" s="1"/>
  <c r="V27" s="1"/>
  <c r="V28" s="1"/>
  <c r="V29" s="1"/>
  <c r="V30" s="1"/>
  <c r="V31" s="1"/>
  <c r="V32" s="1"/>
  <c r="V33" s="1"/>
  <c r="V34" s="1"/>
  <c r="V35" s="1"/>
  <c r="V36" s="1"/>
  <c r="V37" s="1"/>
  <c r="V38" s="1"/>
  <c r="V39" s="1"/>
  <c r="V40" s="1"/>
  <c r="V41" s="1"/>
  <c r="V42" s="1"/>
  <c r="V43" s="1"/>
  <c r="V44" s="1"/>
  <c r="V45" s="1"/>
  <c r="V46" s="1"/>
  <c r="V47" s="1"/>
  <c r="V48" s="1"/>
  <c r="V49" s="1"/>
  <c r="V50" s="1"/>
  <c r="V51" s="1"/>
  <c r="V52" s="1"/>
  <c r="V53" s="1"/>
  <c r="H19" l="1"/>
  <c r="P19"/>
  <c r="L19"/>
  <c r="R19"/>
  <c r="N19"/>
  <c r="F19"/>
  <c r="J19"/>
</calcChain>
</file>

<file path=xl/sharedStrings.xml><?xml version="1.0" encoding="utf-8"?>
<sst xmlns="http://schemas.openxmlformats.org/spreadsheetml/2006/main" count="155" uniqueCount="85">
  <si>
    <t>Сила</t>
  </si>
  <si>
    <t>Здоровье</t>
  </si>
  <si>
    <t>Скорость</t>
  </si>
  <si>
    <t>Ловкость</t>
  </si>
  <si>
    <t>Меткость</t>
  </si>
  <si>
    <t>Смелость</t>
  </si>
  <si>
    <t>Рукопашный бой</t>
  </si>
  <si>
    <t>Владение кастетами</t>
  </si>
  <si>
    <t>Владение ножами</t>
  </si>
  <si>
    <t>Анатомия</t>
  </si>
  <si>
    <t>Воровство</t>
  </si>
  <si>
    <t>Урон</t>
  </si>
  <si>
    <t>Уворот</t>
  </si>
  <si>
    <t>Антиуворот</t>
  </si>
  <si>
    <t>Крит</t>
  </si>
  <si>
    <t>Жизнь</t>
  </si>
  <si>
    <t>Приемы</t>
  </si>
  <si>
    <t>значение</t>
  </si>
  <si>
    <t xml:space="preserve">Модификаторы </t>
  </si>
  <si>
    <t>Базовые значения</t>
  </si>
  <si>
    <t>шанс %</t>
  </si>
  <si>
    <t>характеристики</t>
  </si>
  <si>
    <t>навыки</t>
  </si>
  <si>
    <t>Уровень</t>
  </si>
  <si>
    <t>Всего</t>
  </si>
  <si>
    <t>Параметры героя</t>
  </si>
  <si>
    <t>Итоговые показатели</t>
  </si>
  <si>
    <t>Кастет 2</t>
  </si>
  <si>
    <t>Нож 1</t>
  </si>
  <si>
    <t>Нож 2</t>
  </si>
  <si>
    <t>Таблица опыта</t>
  </si>
  <si>
    <t>Пробитие</t>
  </si>
  <si>
    <t>Модификатор разброса</t>
  </si>
  <si>
    <t>ID</t>
  </si>
  <si>
    <t>Название</t>
  </si>
  <si>
    <t>Итоговые показатели:</t>
  </si>
  <si>
    <t>Доп очки</t>
  </si>
  <si>
    <t>Нет оружия</t>
  </si>
  <si>
    <t>Сумма статов</t>
  </si>
  <si>
    <t>Макс. Характеристика</t>
  </si>
  <si>
    <t>Макс навык</t>
  </si>
  <si>
    <t>Навык</t>
  </si>
  <si>
    <t>минимальный урон</t>
  </si>
  <si>
    <t>базовый урон</t>
  </si>
  <si>
    <t>максимальный урон</t>
  </si>
  <si>
    <t>жизнь</t>
  </si>
  <si>
    <t>шанс уворота</t>
  </si>
  <si>
    <t>антиуворот</t>
  </si>
  <si>
    <t>Критическая атака</t>
  </si>
  <si>
    <t>приемы</t>
  </si>
  <si>
    <t>предмет</t>
  </si>
  <si>
    <t>dmg</t>
  </si>
  <si>
    <t>min_dmg</t>
  </si>
  <si>
    <t>max_dmg</t>
  </si>
  <si>
    <t>lfe</t>
  </si>
  <si>
    <t>ddg</t>
  </si>
  <si>
    <t>adg</t>
  </si>
  <si>
    <t>crt</t>
  </si>
  <si>
    <t>ctr</t>
  </si>
  <si>
    <t>act</t>
  </si>
  <si>
    <t>itm</t>
  </si>
  <si>
    <t>Владение Битами</t>
  </si>
  <si>
    <t>кастет 1</t>
  </si>
  <si>
    <t>Меч Джаффа</t>
  </si>
  <si>
    <t>Прочность</t>
  </si>
  <si>
    <t>str</t>
  </si>
  <si>
    <t>hpp</t>
  </si>
  <si>
    <t>spd</t>
  </si>
  <si>
    <t>agl</t>
  </si>
  <si>
    <t>acc</t>
  </si>
  <si>
    <t>brv</t>
  </si>
  <si>
    <t>fgt</t>
  </si>
  <si>
    <t>clb</t>
  </si>
  <si>
    <t>brs</t>
  </si>
  <si>
    <t>knf</t>
  </si>
  <si>
    <t>lvl</t>
  </si>
  <si>
    <t>\</t>
  </si>
  <si>
    <t>ant</t>
  </si>
  <si>
    <t>stl</t>
  </si>
  <si>
    <t>ID Скила</t>
  </si>
  <si>
    <t>Вес</t>
  </si>
  <si>
    <t>Модификатор крита</t>
  </si>
  <si>
    <t>Антикрит</t>
  </si>
  <si>
    <t>Точность</t>
  </si>
  <si>
    <t>Модификатор контратаки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</si>
</sst>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4" borderId="1" xfId="0" applyFill="1" applyBorder="1" applyProtection="1"/>
    <xf numFmtId="0" fontId="0" fillId="0" borderId="0" xfId="0" applyProtection="1"/>
    <xf numFmtId="0" fontId="1" fillId="2" borderId="1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1" fillId="0" borderId="0" xfId="0" applyFont="1" applyBorder="1" applyAlignment="1" applyProtection="1"/>
    <xf numFmtId="0" fontId="0" fillId="0" borderId="1" xfId="0" applyBorder="1" applyProtection="1"/>
    <xf numFmtId="0" fontId="1" fillId="2" borderId="1" xfId="0" applyFont="1" applyFill="1" applyBorder="1" applyProtection="1"/>
    <xf numFmtId="0" fontId="1" fillId="2" borderId="2" xfId="0" applyFont="1" applyFill="1" applyBorder="1" applyProtection="1"/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0" fontId="1" fillId="2" borderId="9" xfId="0" applyFont="1" applyFill="1" applyBorder="1" applyProtection="1"/>
    <xf numFmtId="0" fontId="1" fillId="2" borderId="3" xfId="0" applyFont="1" applyFill="1" applyBorder="1" applyProtection="1"/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1" xfId="0" applyFill="1" applyBorder="1" applyAlignment="1" applyProtection="1">
      <alignment horizontal="left"/>
    </xf>
    <xf numFmtId="0" fontId="1" fillId="6" borderId="0" xfId="0" applyFont="1" applyFill="1" applyProtection="1"/>
    <xf numFmtId="0" fontId="0" fillId="0" borderId="6" xfId="0" applyBorder="1" applyAlignment="1" applyProtection="1"/>
    <xf numFmtId="0" fontId="0" fillId="0" borderId="2" xfId="0" applyBorder="1" applyProtection="1"/>
    <xf numFmtId="0" fontId="0" fillId="7" borderId="0" xfId="0" applyFill="1" applyBorder="1" applyAlignment="1" applyProtection="1">
      <alignment horizontal="center"/>
    </xf>
    <xf numFmtId="0" fontId="0" fillId="8" borderId="10" xfId="0" applyFill="1" applyBorder="1" applyAlignment="1" applyProtection="1">
      <alignment horizontal="center"/>
    </xf>
    <xf numFmtId="0" fontId="1" fillId="0" borderId="0" xfId="0" applyFont="1" applyFill="1" applyBorder="1" applyProtection="1"/>
    <xf numFmtId="0" fontId="0" fillId="0" borderId="0" xfId="0" applyFill="1" applyBorder="1" applyProtection="1"/>
    <xf numFmtId="2" fontId="0" fillId="0" borderId="0" xfId="0" applyNumberFormat="1" applyFill="1" applyBorder="1" applyProtection="1"/>
    <xf numFmtId="0" fontId="0" fillId="0" borderId="0" xfId="0" applyFill="1" applyBorder="1" applyAlignment="1" applyProtection="1"/>
    <xf numFmtId="0" fontId="1" fillId="0" borderId="0" xfId="0" applyFont="1" applyFill="1" applyBorder="1" applyAlignment="1" applyProtection="1"/>
    <xf numFmtId="0" fontId="0" fillId="0" borderId="0" xfId="0" applyFill="1" applyBorder="1" applyAlignment="1" applyProtection="1">
      <alignment horizontal="center"/>
    </xf>
    <xf numFmtId="0" fontId="0" fillId="5" borderId="1" xfId="0" applyFill="1" applyBorder="1"/>
    <xf numFmtId="0" fontId="0" fillId="9" borderId="1" xfId="0" applyFill="1" applyBorder="1"/>
    <xf numFmtId="0" fontId="1" fillId="0" borderId="1" xfId="0" applyFont="1" applyBorder="1" applyProtection="1"/>
    <xf numFmtId="0" fontId="1" fillId="0" borderId="2" xfId="0" applyFont="1" applyBorder="1" applyProtection="1"/>
    <xf numFmtId="0" fontId="1" fillId="0" borderId="7" xfId="0" applyFont="1" applyBorder="1" applyProtection="1"/>
    <xf numFmtId="0" fontId="1" fillId="0" borderId="8" xfId="0" applyFont="1" applyBorder="1" applyProtection="1"/>
    <xf numFmtId="0" fontId="1" fillId="0" borderId="9" xfId="0" applyFont="1" applyBorder="1" applyProtection="1"/>
    <xf numFmtId="0" fontId="1" fillId="0" borderId="3" xfId="0" applyFont="1" applyBorder="1" applyProtection="1"/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0" fontId="2" fillId="0" borderId="0" xfId="0" applyFont="1"/>
    <xf numFmtId="0" fontId="2" fillId="0" borderId="0" xfId="0" applyFont="1" applyAlignment="1">
      <alignment horizontal="center"/>
    </xf>
    <xf numFmtId="0" fontId="3" fillId="2" borderId="1" xfId="0" applyFont="1" applyFill="1" applyBorder="1" applyProtection="1"/>
    <xf numFmtId="0" fontId="3" fillId="2" borderId="4" xfId="0" applyFont="1" applyFill="1" applyBorder="1" applyAlignment="1" applyProtection="1"/>
    <xf numFmtId="0" fontId="3" fillId="2" borderId="1" xfId="0" applyFont="1" applyFill="1" applyBorder="1" applyAlignment="1" applyProtection="1">
      <alignment horizontal="center"/>
    </xf>
    <xf numFmtId="0" fontId="2" fillId="0" borderId="1" xfId="0" applyFont="1" applyBorder="1" applyProtection="1"/>
    <xf numFmtId="0" fontId="2" fillId="2" borderId="1" xfId="0" applyFont="1" applyFill="1" applyBorder="1" applyProtection="1">
      <protection locked="0"/>
    </xf>
    <xf numFmtId="0" fontId="2" fillId="0" borderId="4" xfId="0" applyFont="1" applyBorder="1" applyAlignment="1" applyProtection="1"/>
    <xf numFmtId="0" fontId="2" fillId="0" borderId="4" xfId="0" applyFont="1" applyBorder="1" applyAlignment="1" applyProtection="1">
      <protection locked="0"/>
    </xf>
    <xf numFmtId="0" fontId="2" fillId="0" borderId="1" xfId="0" applyFont="1" applyBorder="1" applyProtection="1">
      <protection locked="0"/>
    </xf>
    <xf numFmtId="2" fontId="2" fillId="0" borderId="1" xfId="0" applyNumberFormat="1" applyFont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1" fillId="2" borderId="2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1" fillId="0" borderId="4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1" fillId="5" borderId="2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0" fontId="0" fillId="2" borderId="11" xfId="0" applyFill="1" applyBorder="1" applyAlignment="1" applyProtection="1">
      <alignment horizontal="center" vertical="center" textRotation="90"/>
    </xf>
    <xf numFmtId="0" fontId="0" fillId="2" borderId="6" xfId="0" applyFill="1" applyBorder="1" applyAlignment="1" applyProtection="1">
      <alignment horizontal="center" vertical="center" textRotation="90"/>
    </xf>
    <xf numFmtId="0" fontId="0" fillId="2" borderId="0" xfId="0" applyFill="1" applyBorder="1" applyAlignment="1" applyProtection="1">
      <alignment horizontal="center" vertical="center" textRotation="90"/>
    </xf>
    <xf numFmtId="0" fontId="0" fillId="0" borderId="0" xfId="0"/>
    <xf numFmtId="0" fontId="0" fillId="0" borderId="12" xfId="0" applyBorder="1"/>
    <xf numFmtId="0" fontId="0" fillId="5" borderId="4" xfId="0" applyFill="1" applyBorder="1" applyAlignment="1" applyProtection="1">
      <alignment horizontal="center"/>
    </xf>
    <xf numFmtId="0" fontId="0" fillId="5" borderId="5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0" fillId="5" borderId="1" xfId="0" applyFill="1" applyBorder="1" applyAlignment="1" applyProtection="1">
      <alignment horizontal="right"/>
    </xf>
    <xf numFmtId="0" fontId="0" fillId="2" borderId="1" xfId="0" applyFill="1" applyBorder="1" applyAlignment="1" applyProtection="1">
      <alignment horizontal="right"/>
    </xf>
    <xf numFmtId="0" fontId="0" fillId="2" borderId="4" xfId="0" applyFill="1" applyBorder="1" applyAlignment="1" applyProtection="1">
      <alignment horizontal="right"/>
    </xf>
    <xf numFmtId="0" fontId="0" fillId="2" borderId="5" xfId="0" applyFill="1" applyBorder="1" applyAlignment="1" applyProtection="1">
      <alignment horizontal="right"/>
    </xf>
    <xf numFmtId="0" fontId="2" fillId="5" borderId="1" xfId="0" applyFont="1" applyFill="1" applyBorder="1" applyAlignment="1" applyProtection="1">
      <alignment horizontal="center"/>
    </xf>
    <xf numFmtId="0" fontId="0" fillId="7" borderId="1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EDEDE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_TAB"/>
  <dimension ref="A1:V62"/>
  <sheetViews>
    <sheetView tabSelected="1" zoomScaleNormal="100" workbookViewId="0">
      <pane ySplit="1" topLeftCell="A2" activePane="bottomLeft" state="frozen"/>
      <selection pane="bottomLeft" activeCell="E6" sqref="E6:Q6"/>
    </sheetView>
  </sheetViews>
  <sheetFormatPr defaultRowHeight="15"/>
  <cols>
    <col min="1" max="1" width="10.42578125" style="2" customWidth="1"/>
    <col min="2" max="2" width="6.140625" style="2" customWidth="1"/>
    <col min="3" max="3" width="27.140625" style="2" customWidth="1"/>
    <col min="4" max="4" width="13.140625" style="2" customWidth="1"/>
    <col min="5" max="18" width="12" style="2" customWidth="1"/>
    <col min="19" max="20" width="9.140625" style="2"/>
    <col min="21" max="21" width="11.140625" style="2" customWidth="1"/>
    <col min="22" max="16384" width="9.140625" style="2"/>
  </cols>
  <sheetData>
    <row r="1" spans="1:22" s="13" customFormat="1">
      <c r="A1" s="19">
        <v>1</v>
      </c>
      <c r="B1" s="19">
        <v>2</v>
      </c>
      <c r="C1" s="20">
        <v>3</v>
      </c>
      <c r="D1" s="20">
        <v>4</v>
      </c>
      <c r="E1" s="20">
        <v>5</v>
      </c>
      <c r="F1" s="20">
        <v>6</v>
      </c>
      <c r="G1" s="20">
        <v>7</v>
      </c>
      <c r="H1" s="20">
        <v>8</v>
      </c>
      <c r="I1" s="20">
        <v>9</v>
      </c>
      <c r="J1" s="20">
        <v>10</v>
      </c>
      <c r="K1" s="20">
        <v>11</v>
      </c>
      <c r="L1" s="20">
        <v>12</v>
      </c>
      <c r="M1" s="20">
        <v>13</v>
      </c>
      <c r="N1" s="20">
        <v>14</v>
      </c>
      <c r="O1" s="20">
        <v>15</v>
      </c>
      <c r="P1" s="20">
        <v>16</v>
      </c>
      <c r="Q1" s="20">
        <v>17</v>
      </c>
      <c r="R1" s="20">
        <v>18</v>
      </c>
      <c r="S1" s="20">
        <v>19</v>
      </c>
      <c r="T1" s="20">
        <v>20</v>
      </c>
      <c r="U1" s="20">
        <v>21</v>
      </c>
      <c r="V1" s="20">
        <v>22</v>
      </c>
    </row>
    <row r="2" spans="1:22">
      <c r="E2" s="53" t="s">
        <v>26</v>
      </c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T2" s="53" t="s">
        <v>30</v>
      </c>
      <c r="U2" s="53"/>
      <c r="V2" s="53"/>
    </row>
    <row r="3" spans="1:22">
      <c r="B3" s="13"/>
      <c r="C3" s="14"/>
      <c r="D3" s="14"/>
      <c r="E3" s="3" t="s">
        <v>11</v>
      </c>
      <c r="F3" s="51" t="s">
        <v>17</v>
      </c>
      <c r="G3" s="3" t="s">
        <v>12</v>
      </c>
      <c r="H3" s="51" t="s">
        <v>17</v>
      </c>
      <c r="I3" s="3" t="s">
        <v>13</v>
      </c>
      <c r="J3" s="51" t="s">
        <v>17</v>
      </c>
      <c r="K3" s="3" t="s">
        <v>14</v>
      </c>
      <c r="L3" s="51" t="s">
        <v>17</v>
      </c>
      <c r="M3" s="3" t="s">
        <v>82</v>
      </c>
      <c r="N3" s="51" t="s">
        <v>17</v>
      </c>
      <c r="O3" s="3" t="s">
        <v>15</v>
      </c>
      <c r="P3" s="51" t="s">
        <v>17</v>
      </c>
      <c r="Q3" s="3" t="s">
        <v>16</v>
      </c>
      <c r="R3" s="51" t="s">
        <v>17</v>
      </c>
      <c r="T3" s="4" t="s">
        <v>23</v>
      </c>
      <c r="U3" s="4" t="s">
        <v>36</v>
      </c>
      <c r="V3" s="4" t="s">
        <v>24</v>
      </c>
    </row>
    <row r="4" spans="1:22">
      <c r="C4" s="14"/>
      <c r="D4" s="17"/>
      <c r="E4" s="4" t="s">
        <v>17</v>
      </c>
      <c r="F4" s="52"/>
      <c r="G4" s="4" t="s">
        <v>20</v>
      </c>
      <c r="H4" s="52"/>
      <c r="I4" s="4" t="s">
        <v>20</v>
      </c>
      <c r="J4" s="52"/>
      <c r="K4" s="4" t="s">
        <v>20</v>
      </c>
      <c r="L4" s="52"/>
      <c r="M4" s="4" t="s">
        <v>20</v>
      </c>
      <c r="N4" s="52"/>
      <c r="O4" s="4" t="s">
        <v>17</v>
      </c>
      <c r="P4" s="52"/>
      <c r="Q4" s="4" t="s">
        <v>17</v>
      </c>
      <c r="R4" s="52"/>
      <c r="T4" s="6">
        <v>1</v>
      </c>
      <c r="U4" s="6">
        <v>6</v>
      </c>
      <c r="V4" s="6">
        <f>U4</f>
        <v>6</v>
      </c>
    </row>
    <row r="5" spans="1:22">
      <c r="C5" s="5"/>
      <c r="D5" s="57" t="s">
        <v>19</v>
      </c>
      <c r="E5" s="54">
        <v>1</v>
      </c>
      <c r="F5" s="55"/>
      <c r="G5" s="54">
        <v>0</v>
      </c>
      <c r="H5" s="55"/>
      <c r="I5" s="54">
        <v>0</v>
      </c>
      <c r="J5" s="55"/>
      <c r="K5" s="54">
        <v>0</v>
      </c>
      <c r="L5" s="55"/>
      <c r="M5" s="54">
        <v>0</v>
      </c>
      <c r="N5" s="55"/>
      <c r="O5" s="54">
        <v>20</v>
      </c>
      <c r="P5" s="55"/>
      <c r="Q5" s="54">
        <v>2</v>
      </c>
      <c r="R5" s="55"/>
      <c r="T5" s="6">
        <v>2</v>
      </c>
      <c r="U5" s="6">
        <v>1</v>
      </c>
      <c r="V5" s="6">
        <f>V4+U5</f>
        <v>7</v>
      </c>
    </row>
    <row r="6" spans="1:22">
      <c r="B6" s="64" t="s">
        <v>25</v>
      </c>
      <c r="C6" s="65"/>
      <c r="D6" s="58"/>
      <c r="E6" s="56" t="s">
        <v>18</v>
      </c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6"/>
      <c r="T6" s="6">
        <v>3</v>
      </c>
      <c r="U6" s="6">
        <v>1</v>
      </c>
      <c r="V6" s="6">
        <f t="shared" ref="V6:V13" si="0">V5+U6</f>
        <v>8</v>
      </c>
    </row>
    <row r="7" spans="1:22" ht="15" customHeight="1">
      <c r="B7" s="59" t="s">
        <v>21</v>
      </c>
      <c r="C7" s="12" t="s">
        <v>0</v>
      </c>
      <c r="D7" s="29">
        <v>50</v>
      </c>
      <c r="E7" s="48">
        <v>3</v>
      </c>
      <c r="F7" s="1"/>
      <c r="G7" s="48">
        <v>0</v>
      </c>
      <c r="H7" s="1"/>
      <c r="I7" s="48">
        <v>0</v>
      </c>
      <c r="J7" s="1"/>
      <c r="K7" s="48">
        <v>0</v>
      </c>
      <c r="L7" s="1"/>
      <c r="M7" s="48">
        <v>0</v>
      </c>
      <c r="N7" s="1"/>
      <c r="O7" s="48">
        <v>0</v>
      </c>
      <c r="P7" s="1"/>
      <c r="Q7" s="48">
        <v>0</v>
      </c>
      <c r="R7" s="1"/>
      <c r="T7" s="6">
        <v>4</v>
      </c>
      <c r="U7" s="6">
        <v>1</v>
      </c>
      <c r="V7" s="6">
        <f t="shared" si="0"/>
        <v>9</v>
      </c>
    </row>
    <row r="8" spans="1:22">
      <c r="B8" s="60"/>
      <c r="C8" s="7" t="s">
        <v>1</v>
      </c>
      <c r="D8" s="29">
        <v>5</v>
      </c>
      <c r="E8" s="48">
        <v>0</v>
      </c>
      <c r="F8" s="1"/>
      <c r="G8" s="48">
        <v>0</v>
      </c>
      <c r="H8" s="1"/>
      <c r="I8" s="48">
        <v>0</v>
      </c>
      <c r="J8" s="1"/>
      <c r="K8" s="48">
        <v>0</v>
      </c>
      <c r="L8" s="1"/>
      <c r="M8" s="48">
        <v>3.2</v>
      </c>
      <c r="N8" s="1"/>
      <c r="O8" s="48">
        <v>5</v>
      </c>
      <c r="P8" s="1"/>
      <c r="Q8" s="48">
        <v>0</v>
      </c>
      <c r="R8" s="1"/>
      <c r="T8" s="6">
        <v>5</v>
      </c>
      <c r="U8" s="6">
        <v>3</v>
      </c>
      <c r="V8" s="6">
        <f t="shared" si="0"/>
        <v>12</v>
      </c>
    </row>
    <row r="9" spans="1:22">
      <c r="B9" s="60"/>
      <c r="C9" s="7" t="s">
        <v>2</v>
      </c>
      <c r="D9" s="29">
        <v>3</v>
      </c>
      <c r="E9" s="48">
        <v>0</v>
      </c>
      <c r="F9" s="1"/>
      <c r="G9" s="48">
        <v>0</v>
      </c>
      <c r="H9" s="1"/>
      <c r="I9" s="48">
        <v>0</v>
      </c>
      <c r="J9" s="1"/>
      <c r="K9" s="48">
        <v>0</v>
      </c>
      <c r="L9" s="1"/>
      <c r="M9" s="48">
        <v>0</v>
      </c>
      <c r="N9" s="1"/>
      <c r="O9" s="48">
        <v>0</v>
      </c>
      <c r="P9" s="1"/>
      <c r="Q9" s="48">
        <v>5</v>
      </c>
      <c r="R9" s="1"/>
      <c r="T9" s="6">
        <v>6</v>
      </c>
      <c r="U9" s="6">
        <v>1</v>
      </c>
      <c r="V9" s="6">
        <f t="shared" si="0"/>
        <v>13</v>
      </c>
    </row>
    <row r="10" spans="1:22">
      <c r="B10" s="60"/>
      <c r="C10" s="7" t="s">
        <v>3</v>
      </c>
      <c r="D10" s="29">
        <v>4</v>
      </c>
      <c r="E10" s="48">
        <v>0.48</v>
      </c>
      <c r="F10" s="1"/>
      <c r="G10" s="48">
        <v>1.6</v>
      </c>
      <c r="H10" s="1"/>
      <c r="I10" s="48">
        <v>0</v>
      </c>
      <c r="J10" s="1"/>
      <c r="K10" s="48">
        <v>0</v>
      </c>
      <c r="L10" s="1"/>
      <c r="M10" s="48">
        <v>0</v>
      </c>
      <c r="N10" s="1"/>
      <c r="O10" s="48">
        <v>0</v>
      </c>
      <c r="P10" s="1"/>
      <c r="Q10" s="48">
        <v>0</v>
      </c>
      <c r="R10" s="1"/>
      <c r="T10" s="6">
        <v>7</v>
      </c>
      <c r="U10" s="6">
        <v>1</v>
      </c>
      <c r="V10" s="6">
        <f t="shared" si="0"/>
        <v>14</v>
      </c>
    </row>
    <row r="11" spans="1:22">
      <c r="B11" s="60"/>
      <c r="C11" s="7" t="s">
        <v>83</v>
      </c>
      <c r="D11" s="29">
        <v>5</v>
      </c>
      <c r="E11" s="48">
        <v>0.88</v>
      </c>
      <c r="F11" s="1"/>
      <c r="G11" s="48">
        <v>0</v>
      </c>
      <c r="H11" s="1"/>
      <c r="I11" s="48">
        <v>1.6</v>
      </c>
      <c r="J11" s="1"/>
      <c r="K11" s="48">
        <v>1.6</v>
      </c>
      <c r="L11" s="1"/>
      <c r="M11" s="48">
        <v>0</v>
      </c>
      <c r="N11" s="1"/>
      <c r="O11" s="48">
        <v>0</v>
      </c>
      <c r="P11" s="1"/>
      <c r="Q11" s="48">
        <v>0</v>
      </c>
      <c r="R11" s="1"/>
      <c r="T11" s="6">
        <v>8</v>
      </c>
      <c r="U11" s="6">
        <v>1</v>
      </c>
      <c r="V11" s="6">
        <f t="shared" si="0"/>
        <v>15</v>
      </c>
    </row>
    <row r="12" spans="1:22" ht="15.75" thickBot="1">
      <c r="B12" s="60"/>
      <c r="C12" s="8" t="s">
        <v>5</v>
      </c>
      <c r="D12" s="30">
        <v>1</v>
      </c>
      <c r="E12" s="48">
        <v>0</v>
      </c>
      <c r="F12" s="1"/>
      <c r="G12" s="48">
        <v>0</v>
      </c>
      <c r="H12" s="1"/>
      <c r="I12" s="48">
        <v>0</v>
      </c>
      <c r="J12" s="1"/>
      <c r="K12" s="48">
        <v>0</v>
      </c>
      <c r="L12" s="1"/>
      <c r="M12" s="48">
        <v>0</v>
      </c>
      <c r="N12" s="1"/>
      <c r="O12" s="48">
        <v>0</v>
      </c>
      <c r="P12" s="1"/>
      <c r="Q12" s="48">
        <v>0</v>
      </c>
      <c r="R12" s="1"/>
      <c r="T12" s="6">
        <v>9</v>
      </c>
      <c r="U12" s="6">
        <v>1</v>
      </c>
      <c r="V12" s="6">
        <f t="shared" si="0"/>
        <v>16</v>
      </c>
    </row>
    <row r="13" spans="1:22" ht="15" customHeight="1">
      <c r="B13" s="61" t="s">
        <v>22</v>
      </c>
      <c r="C13" s="9" t="s">
        <v>6</v>
      </c>
      <c r="D13" s="31">
        <v>100</v>
      </c>
      <c r="E13" s="49">
        <v>0</v>
      </c>
      <c r="F13" s="1"/>
      <c r="G13" s="48">
        <v>0</v>
      </c>
      <c r="H13" s="1"/>
      <c r="I13" s="48">
        <v>0</v>
      </c>
      <c r="J13" s="1"/>
      <c r="K13" s="48">
        <v>0</v>
      </c>
      <c r="L13" s="1"/>
      <c r="M13" s="48">
        <v>0</v>
      </c>
      <c r="N13" s="1"/>
      <c r="O13" s="48">
        <v>0</v>
      </c>
      <c r="P13" s="1"/>
      <c r="Q13" s="48">
        <v>0</v>
      </c>
      <c r="R13" s="1"/>
      <c r="T13" s="6">
        <v>10</v>
      </c>
      <c r="U13" s="6">
        <v>4</v>
      </c>
      <c r="V13" s="6">
        <f t="shared" si="0"/>
        <v>20</v>
      </c>
    </row>
    <row r="14" spans="1:22">
      <c r="B14" s="62"/>
      <c r="C14" s="10" t="s">
        <v>61</v>
      </c>
      <c r="D14" s="32">
        <v>0</v>
      </c>
      <c r="E14" s="49">
        <v>0</v>
      </c>
      <c r="F14" s="1"/>
      <c r="G14" s="48">
        <v>0</v>
      </c>
      <c r="H14" s="1"/>
      <c r="I14" s="48">
        <v>0</v>
      </c>
      <c r="J14" s="1"/>
      <c r="K14" s="48">
        <v>0</v>
      </c>
      <c r="L14" s="1"/>
      <c r="M14" s="48">
        <v>0</v>
      </c>
      <c r="N14" s="1"/>
      <c r="O14" s="48">
        <v>0</v>
      </c>
      <c r="P14" s="1"/>
      <c r="Q14" s="48">
        <v>0</v>
      </c>
      <c r="R14" s="1"/>
      <c r="T14" s="6">
        <v>11</v>
      </c>
      <c r="U14" s="6">
        <v>1</v>
      </c>
      <c r="V14" s="6">
        <f t="shared" ref="V14:V53" si="1">V13+U14</f>
        <v>21</v>
      </c>
    </row>
    <row r="15" spans="1:22">
      <c r="B15" s="62"/>
      <c r="C15" s="10" t="s">
        <v>7</v>
      </c>
      <c r="D15" s="32">
        <v>0</v>
      </c>
      <c r="E15" s="49">
        <v>0</v>
      </c>
      <c r="F15" s="1"/>
      <c r="G15" s="48">
        <v>0</v>
      </c>
      <c r="H15" s="1"/>
      <c r="I15" s="48">
        <v>0</v>
      </c>
      <c r="J15" s="1"/>
      <c r="K15" s="48">
        <v>0</v>
      </c>
      <c r="L15" s="1"/>
      <c r="M15" s="48">
        <v>0</v>
      </c>
      <c r="N15" s="1"/>
      <c r="O15" s="48">
        <v>0</v>
      </c>
      <c r="P15" s="1"/>
      <c r="Q15" s="48">
        <v>0</v>
      </c>
      <c r="R15" s="1"/>
      <c r="T15" s="6">
        <v>12</v>
      </c>
      <c r="U15" s="6">
        <v>1</v>
      </c>
      <c r="V15" s="6">
        <f t="shared" si="1"/>
        <v>22</v>
      </c>
    </row>
    <row r="16" spans="1:22" ht="15.75" thickBot="1">
      <c r="B16" s="62"/>
      <c r="C16" s="11" t="s">
        <v>8</v>
      </c>
      <c r="D16" s="33">
        <v>0</v>
      </c>
      <c r="E16" s="49">
        <v>0</v>
      </c>
      <c r="F16" s="1"/>
      <c r="G16" s="48">
        <v>0</v>
      </c>
      <c r="H16" s="1"/>
      <c r="I16" s="48">
        <v>0</v>
      </c>
      <c r="J16" s="1"/>
      <c r="K16" s="48">
        <v>0</v>
      </c>
      <c r="L16" s="1"/>
      <c r="M16" s="48">
        <v>0</v>
      </c>
      <c r="N16" s="1"/>
      <c r="O16" s="48">
        <v>0</v>
      </c>
      <c r="P16" s="1"/>
      <c r="Q16" s="48">
        <v>0</v>
      </c>
      <c r="R16" s="1"/>
      <c r="T16" s="6">
        <v>13</v>
      </c>
      <c r="U16" s="6">
        <v>1</v>
      </c>
      <c r="V16" s="6">
        <f t="shared" si="1"/>
        <v>23</v>
      </c>
    </row>
    <row r="17" spans="2:22">
      <c r="B17" s="62"/>
      <c r="C17" s="12" t="s">
        <v>9</v>
      </c>
      <c r="D17" s="34">
        <v>0</v>
      </c>
      <c r="E17" s="48">
        <v>0</v>
      </c>
      <c r="F17" s="1"/>
      <c r="G17" s="48">
        <v>0</v>
      </c>
      <c r="H17" s="1"/>
      <c r="I17" s="48">
        <v>0</v>
      </c>
      <c r="J17" s="1"/>
      <c r="K17" s="48">
        <v>0</v>
      </c>
      <c r="L17" s="1"/>
      <c r="M17" s="48">
        <v>0</v>
      </c>
      <c r="N17" s="1"/>
      <c r="O17" s="48">
        <v>0</v>
      </c>
      <c r="P17" s="1"/>
      <c r="Q17" s="48">
        <v>0</v>
      </c>
      <c r="R17" s="1"/>
      <c r="T17" s="6">
        <v>14</v>
      </c>
      <c r="U17" s="6">
        <v>1</v>
      </c>
      <c r="V17" s="6">
        <f t="shared" si="1"/>
        <v>24</v>
      </c>
    </row>
    <row r="18" spans="2:22">
      <c r="B18" s="63"/>
      <c r="C18" s="8" t="s">
        <v>10</v>
      </c>
      <c r="D18" s="30">
        <v>0</v>
      </c>
      <c r="E18" s="50">
        <v>0</v>
      </c>
      <c r="F18" s="1"/>
      <c r="G18" s="48">
        <v>0</v>
      </c>
      <c r="H18" s="1"/>
      <c r="I18" s="48">
        <v>0</v>
      </c>
      <c r="J18" s="1"/>
      <c r="K18" s="48">
        <v>0</v>
      </c>
      <c r="L18" s="1"/>
      <c r="M18" s="48">
        <v>0</v>
      </c>
      <c r="N18" s="1"/>
      <c r="O18" s="48">
        <v>0</v>
      </c>
      <c r="P18" s="1"/>
      <c r="Q18" s="48">
        <v>0</v>
      </c>
      <c r="R18" s="1"/>
      <c r="T18" s="6">
        <v>15</v>
      </c>
      <c r="U18" s="6">
        <v>3</v>
      </c>
      <c r="V18" s="6">
        <f t="shared" si="1"/>
        <v>27</v>
      </c>
    </row>
    <row r="19" spans="2:22">
      <c r="B19" s="67" t="s">
        <v>35</v>
      </c>
      <c r="C19" s="67"/>
      <c r="D19" s="67"/>
      <c r="E19" s="67"/>
      <c r="F19" s="16">
        <f>SUM(F7:F18)+E5</f>
        <v>1</v>
      </c>
      <c r="H19" s="16">
        <f>SUM(H7:H18)+G5</f>
        <v>0</v>
      </c>
      <c r="J19" s="16">
        <f>SUM(J9:J18)+I5</f>
        <v>0</v>
      </c>
      <c r="L19" s="16">
        <f>SUM(L9:L18)+K5</f>
        <v>0</v>
      </c>
      <c r="N19" s="16">
        <f>SUM(N7:N18)+M5</f>
        <v>0</v>
      </c>
      <c r="P19" s="16">
        <f>SUM(P8:P18)+O5</f>
        <v>20</v>
      </c>
      <c r="R19" s="16">
        <f>SUM(R9:R18)+Q5</f>
        <v>2</v>
      </c>
      <c r="T19" s="6">
        <v>16</v>
      </c>
      <c r="U19" s="6">
        <v>1</v>
      </c>
      <c r="V19" s="6">
        <f t="shared" si="1"/>
        <v>28</v>
      </c>
    </row>
    <row r="20" spans="2:22">
      <c r="T20" s="6">
        <v>17</v>
      </c>
      <c r="U20" s="6">
        <v>1</v>
      </c>
      <c r="V20" s="6">
        <f t="shared" si="1"/>
        <v>29</v>
      </c>
    </row>
    <row r="21" spans="2:22">
      <c r="B21" s="69" t="s">
        <v>39</v>
      </c>
      <c r="C21" s="70"/>
      <c r="D21" s="15">
        <v>50</v>
      </c>
      <c r="E21" s="72">
        <v>1</v>
      </c>
      <c r="T21" s="6">
        <v>18</v>
      </c>
      <c r="U21" s="6">
        <v>1</v>
      </c>
      <c r="V21" s="6">
        <f t="shared" si="1"/>
        <v>30</v>
      </c>
    </row>
    <row r="22" spans="2:22">
      <c r="B22" s="69" t="s">
        <v>40</v>
      </c>
      <c r="C22" s="70"/>
      <c r="D22" s="15">
        <v>100</v>
      </c>
      <c r="E22" s="72">
        <v>2</v>
      </c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T22" s="6">
        <v>19</v>
      </c>
      <c r="U22" s="6">
        <v>1</v>
      </c>
      <c r="V22" s="6">
        <f t="shared" si="1"/>
        <v>31</v>
      </c>
    </row>
    <row r="23" spans="2:22">
      <c r="B23" s="69" t="s">
        <v>38</v>
      </c>
      <c r="C23" s="70"/>
      <c r="D23" s="15">
        <f>SUM(U4:U1000)</f>
        <v>80</v>
      </c>
      <c r="E23" s="72">
        <v>3</v>
      </c>
      <c r="H23" s="21"/>
      <c r="I23" s="21"/>
      <c r="J23" s="25"/>
      <c r="K23" s="25"/>
      <c r="L23" s="21"/>
      <c r="M23" s="21"/>
      <c r="N23" s="21"/>
      <c r="O23" s="21"/>
      <c r="P23" s="21"/>
      <c r="Q23" s="21"/>
      <c r="R23" s="21"/>
      <c r="T23" s="6">
        <v>20</v>
      </c>
      <c r="U23" s="6">
        <v>4</v>
      </c>
      <c r="V23" s="6">
        <f t="shared" si="1"/>
        <v>35</v>
      </c>
    </row>
    <row r="24" spans="2:22">
      <c r="B24" s="68" t="s">
        <v>32</v>
      </c>
      <c r="C24" s="68"/>
      <c r="D24" s="15">
        <v>0.3</v>
      </c>
      <c r="E24" s="72">
        <v>4</v>
      </c>
      <c r="H24" s="22"/>
      <c r="I24" s="22"/>
      <c r="J24" s="24"/>
      <c r="K24" s="24"/>
      <c r="L24" s="22"/>
      <c r="M24" s="22"/>
      <c r="N24" s="22"/>
      <c r="O24" s="22"/>
      <c r="P24" s="22"/>
      <c r="Q24" s="22"/>
      <c r="R24" s="22"/>
      <c r="T24" s="6">
        <v>21</v>
      </c>
      <c r="U24" s="6">
        <v>1</v>
      </c>
      <c r="V24" s="6">
        <f t="shared" si="1"/>
        <v>36</v>
      </c>
    </row>
    <row r="25" spans="2:22">
      <c r="B25" s="68" t="s">
        <v>81</v>
      </c>
      <c r="C25" s="68"/>
      <c r="D25" s="15">
        <v>2.2999999999999998</v>
      </c>
      <c r="E25" s="72">
        <v>5</v>
      </c>
      <c r="H25" s="22"/>
      <c r="I25" s="22"/>
      <c r="J25" s="24"/>
      <c r="K25" s="24"/>
      <c r="L25" s="22"/>
      <c r="M25" s="22"/>
      <c r="N25" s="22"/>
      <c r="O25" s="22"/>
      <c r="P25" s="22"/>
      <c r="Q25" s="22"/>
      <c r="R25" s="23"/>
      <c r="T25" s="6">
        <v>22</v>
      </c>
      <c r="U25" s="6">
        <v>1</v>
      </c>
      <c r="V25" s="6">
        <f t="shared" si="1"/>
        <v>37</v>
      </c>
    </row>
    <row r="26" spans="2:22">
      <c r="B26" s="68" t="s">
        <v>84</v>
      </c>
      <c r="C26" s="68"/>
      <c r="D26" s="15">
        <v>5</v>
      </c>
      <c r="E26" s="72">
        <v>6</v>
      </c>
      <c r="H26" s="22"/>
      <c r="I26" s="22"/>
      <c r="J26" s="24"/>
      <c r="K26" s="24"/>
      <c r="L26" s="22"/>
      <c r="M26" s="22"/>
      <c r="N26" s="22"/>
      <c r="O26" s="22"/>
      <c r="P26" s="22"/>
      <c r="Q26" s="22"/>
      <c r="R26" s="23"/>
      <c r="T26" s="6">
        <v>23</v>
      </c>
      <c r="U26" s="6">
        <v>1</v>
      </c>
      <c r="V26" s="6">
        <f t="shared" si="1"/>
        <v>38</v>
      </c>
    </row>
    <row r="27" spans="2:22">
      <c r="H27" s="22"/>
      <c r="I27" s="22"/>
      <c r="J27" s="24"/>
      <c r="K27" s="24"/>
      <c r="L27" s="22"/>
      <c r="M27" s="22"/>
      <c r="N27" s="22"/>
      <c r="O27" s="22"/>
      <c r="P27" s="22"/>
      <c r="Q27" s="22"/>
      <c r="R27" s="23"/>
      <c r="T27" s="6">
        <v>24</v>
      </c>
      <c r="U27" s="6">
        <v>1</v>
      </c>
      <c r="V27" s="6">
        <f t="shared" si="1"/>
        <v>39</v>
      </c>
    </row>
    <row r="28" spans="2:22">
      <c r="H28" s="22"/>
      <c r="I28" s="22"/>
      <c r="J28" s="24"/>
      <c r="K28" s="24"/>
      <c r="L28" s="22"/>
      <c r="M28" s="22"/>
      <c r="N28" s="22"/>
      <c r="O28" s="22"/>
      <c r="P28" s="22"/>
      <c r="Q28" s="22"/>
      <c r="R28" s="23"/>
      <c r="T28" s="6">
        <v>25</v>
      </c>
      <c r="U28" s="6">
        <v>3</v>
      </c>
      <c r="V28" s="6">
        <f t="shared" si="1"/>
        <v>42</v>
      </c>
    </row>
    <row r="29" spans="2:22">
      <c r="H29" s="22"/>
      <c r="I29" s="22"/>
      <c r="J29" s="24"/>
      <c r="K29" s="24"/>
      <c r="L29" s="22"/>
      <c r="M29" s="22"/>
      <c r="N29" s="22"/>
      <c r="O29" s="22"/>
      <c r="P29" s="22"/>
      <c r="Q29" s="22"/>
      <c r="R29" s="22"/>
      <c r="T29" s="6">
        <v>26</v>
      </c>
      <c r="U29" s="6">
        <v>1</v>
      </c>
      <c r="V29" s="6">
        <f t="shared" si="1"/>
        <v>43</v>
      </c>
    </row>
    <row r="30" spans="2:22">
      <c r="B30" s="2">
        <v>0</v>
      </c>
      <c r="C30" s="2" t="s">
        <v>23</v>
      </c>
      <c r="D30" s="2" t="s">
        <v>75</v>
      </c>
      <c r="H30" s="22"/>
      <c r="I30" s="22"/>
      <c r="J30" s="24"/>
      <c r="K30" s="24"/>
      <c r="L30" s="22"/>
      <c r="M30" s="22"/>
      <c r="N30" s="22"/>
      <c r="O30" s="22"/>
      <c r="P30" s="22"/>
      <c r="Q30" s="22"/>
      <c r="R30" s="23"/>
      <c r="T30" s="6">
        <v>27</v>
      </c>
      <c r="U30" s="6">
        <v>1</v>
      </c>
      <c r="V30" s="6">
        <f t="shared" si="1"/>
        <v>44</v>
      </c>
    </row>
    <row r="31" spans="2:22" ht="15.75" customHeight="1">
      <c r="B31" s="2">
        <v>1</v>
      </c>
      <c r="C31" s="2" t="s">
        <v>0</v>
      </c>
      <c r="D31" s="2" t="s">
        <v>65</v>
      </c>
      <c r="H31" s="22"/>
      <c r="I31" s="22"/>
      <c r="J31" s="24"/>
      <c r="K31" s="24"/>
      <c r="L31" s="22"/>
      <c r="M31" s="22"/>
      <c r="N31" s="22"/>
      <c r="O31" s="22"/>
      <c r="P31" s="22"/>
      <c r="Q31" s="22"/>
      <c r="R31" s="23"/>
      <c r="T31" s="6">
        <v>28</v>
      </c>
      <c r="U31" s="6">
        <v>1</v>
      </c>
      <c r="V31" s="6">
        <f t="shared" si="1"/>
        <v>45</v>
      </c>
    </row>
    <row r="32" spans="2:22" ht="15" customHeight="1">
      <c r="B32" s="2">
        <v>2</v>
      </c>
      <c r="C32" s="2" t="s">
        <v>1</v>
      </c>
      <c r="D32" s="2" t="s">
        <v>66</v>
      </c>
      <c r="H32" s="22"/>
      <c r="I32" s="22"/>
      <c r="J32" s="24"/>
      <c r="K32" s="24"/>
      <c r="L32" s="22"/>
      <c r="M32" s="22"/>
      <c r="N32" s="22"/>
      <c r="O32" s="22"/>
      <c r="P32" s="22"/>
      <c r="Q32" s="22"/>
      <c r="R32" s="23"/>
      <c r="T32" s="6">
        <v>29</v>
      </c>
      <c r="U32" s="6">
        <v>1</v>
      </c>
      <c r="V32" s="6">
        <f t="shared" si="1"/>
        <v>46</v>
      </c>
    </row>
    <row r="33" spans="2:22" ht="15" customHeight="1">
      <c r="B33" s="2">
        <v>3</v>
      </c>
      <c r="C33" s="2" t="s">
        <v>2</v>
      </c>
      <c r="D33" s="2" t="s">
        <v>67</v>
      </c>
      <c r="H33" s="22"/>
      <c r="I33" s="22"/>
      <c r="J33" s="24"/>
      <c r="K33" s="24"/>
      <c r="L33" s="22"/>
      <c r="M33" s="22"/>
      <c r="N33" s="22"/>
      <c r="O33" s="22"/>
      <c r="P33" s="22"/>
      <c r="Q33" s="22"/>
      <c r="R33" s="23"/>
      <c r="T33" s="6">
        <v>30</v>
      </c>
      <c r="U33" s="6">
        <v>4</v>
      </c>
      <c r="V33" s="6">
        <f t="shared" si="1"/>
        <v>50</v>
      </c>
    </row>
    <row r="34" spans="2:22">
      <c r="B34" s="2">
        <v>4</v>
      </c>
      <c r="C34" s="2" t="s">
        <v>3</v>
      </c>
      <c r="D34" s="2" t="s">
        <v>68</v>
      </c>
      <c r="H34" s="22"/>
      <c r="I34" s="22"/>
      <c r="J34" s="24"/>
      <c r="L34" s="22"/>
      <c r="M34" s="22"/>
      <c r="N34" s="22"/>
      <c r="O34" s="22"/>
      <c r="P34" s="22"/>
      <c r="Q34" s="22"/>
      <c r="R34" s="22"/>
      <c r="T34" s="6">
        <v>31</v>
      </c>
      <c r="U34" s="6">
        <v>1</v>
      </c>
      <c r="V34" s="6">
        <f t="shared" si="1"/>
        <v>51</v>
      </c>
    </row>
    <row r="35" spans="2:22">
      <c r="B35" s="2">
        <v>5</v>
      </c>
      <c r="C35" s="2" t="s">
        <v>83</v>
      </c>
      <c r="D35" s="2" t="s">
        <v>69</v>
      </c>
      <c r="H35" s="22"/>
      <c r="I35" s="22"/>
      <c r="J35" s="24"/>
      <c r="K35" s="24"/>
      <c r="L35" s="22"/>
      <c r="M35" s="22"/>
      <c r="N35" s="22"/>
      <c r="O35" s="22"/>
      <c r="P35" s="22"/>
      <c r="Q35" s="22"/>
      <c r="R35" s="23"/>
      <c r="T35" s="6">
        <v>32</v>
      </c>
      <c r="U35" s="6">
        <v>1</v>
      </c>
      <c r="V35" s="6">
        <f t="shared" si="1"/>
        <v>52</v>
      </c>
    </row>
    <row r="36" spans="2:22">
      <c r="B36" s="2">
        <v>6</v>
      </c>
      <c r="C36" s="2" t="s">
        <v>5</v>
      </c>
      <c r="D36" s="2" t="s">
        <v>70</v>
      </c>
      <c r="H36" s="22"/>
      <c r="I36" s="22"/>
      <c r="J36" s="24"/>
      <c r="K36" s="24"/>
      <c r="L36" s="22"/>
      <c r="M36" s="22"/>
      <c r="N36" s="22"/>
      <c r="O36" s="22"/>
      <c r="P36" s="22"/>
      <c r="Q36" s="22"/>
      <c r="R36" s="23"/>
      <c r="T36" s="6">
        <v>33</v>
      </c>
      <c r="U36" s="6">
        <v>1</v>
      </c>
      <c r="V36" s="6">
        <f t="shared" si="1"/>
        <v>53</v>
      </c>
    </row>
    <row r="37" spans="2:22">
      <c r="B37" s="2">
        <v>7</v>
      </c>
      <c r="C37" s="2" t="s">
        <v>50</v>
      </c>
      <c r="D37" s="2" t="s">
        <v>60</v>
      </c>
      <c r="H37" s="22"/>
      <c r="I37" s="22"/>
      <c r="J37" s="24"/>
      <c r="K37" s="24"/>
      <c r="L37" s="22"/>
      <c r="M37" s="22"/>
      <c r="N37" s="22"/>
      <c r="O37" s="22"/>
      <c r="P37" s="22"/>
      <c r="Q37" s="22"/>
      <c r="R37" s="23"/>
      <c r="T37" s="6">
        <v>34</v>
      </c>
      <c r="U37" s="6">
        <v>1</v>
      </c>
      <c r="V37" s="6">
        <f t="shared" si="1"/>
        <v>54</v>
      </c>
    </row>
    <row r="38" spans="2:22">
      <c r="B38" s="2">
        <v>8</v>
      </c>
      <c r="C38" s="2" t="s">
        <v>6</v>
      </c>
      <c r="D38" s="2" t="s">
        <v>71</v>
      </c>
      <c r="H38" s="22"/>
      <c r="I38" s="22"/>
      <c r="J38" s="24"/>
      <c r="K38" s="24"/>
      <c r="L38" s="22"/>
      <c r="M38" s="22"/>
      <c r="N38" s="22"/>
      <c r="O38" s="22"/>
      <c r="P38" s="22"/>
      <c r="Q38" s="22"/>
      <c r="R38" s="23"/>
      <c r="T38" s="6">
        <v>35</v>
      </c>
      <c r="U38" s="6">
        <v>3</v>
      </c>
      <c r="V38" s="6">
        <f t="shared" si="1"/>
        <v>57</v>
      </c>
    </row>
    <row r="39" spans="2:22">
      <c r="B39" s="2">
        <v>9</v>
      </c>
      <c r="C39" s="2" t="s">
        <v>61</v>
      </c>
      <c r="D39" s="2" t="s">
        <v>72</v>
      </c>
      <c r="H39" s="22"/>
      <c r="I39" s="22"/>
      <c r="J39" s="24"/>
      <c r="K39" s="24"/>
      <c r="L39" s="22"/>
      <c r="M39" s="22"/>
      <c r="N39" s="22"/>
      <c r="O39" s="22"/>
      <c r="P39" s="22"/>
      <c r="Q39" s="22"/>
      <c r="R39" s="22"/>
      <c r="T39" s="6">
        <v>36</v>
      </c>
      <c r="U39" s="6">
        <v>1</v>
      </c>
      <c r="V39" s="6">
        <f t="shared" si="1"/>
        <v>58</v>
      </c>
    </row>
    <row r="40" spans="2:22">
      <c r="B40" s="2">
        <v>10</v>
      </c>
      <c r="C40" s="2" t="s">
        <v>7</v>
      </c>
      <c r="D40" s="2" t="s">
        <v>73</v>
      </c>
      <c r="H40" s="22"/>
      <c r="I40" s="22"/>
      <c r="J40" s="24"/>
      <c r="K40" s="24"/>
      <c r="L40" s="22"/>
      <c r="M40" s="22"/>
      <c r="N40" s="22"/>
      <c r="O40" s="22"/>
      <c r="P40" s="22"/>
      <c r="Q40" s="22"/>
      <c r="R40" s="23"/>
      <c r="T40" s="6">
        <v>37</v>
      </c>
      <c r="U40" s="6">
        <v>1</v>
      </c>
      <c r="V40" s="6">
        <f t="shared" si="1"/>
        <v>59</v>
      </c>
    </row>
    <row r="41" spans="2:22">
      <c r="B41" s="2">
        <v>11</v>
      </c>
      <c r="C41" s="2" t="s">
        <v>8</v>
      </c>
      <c r="D41" s="2" t="s">
        <v>74</v>
      </c>
      <c r="H41" s="22"/>
      <c r="I41" s="22"/>
      <c r="J41" s="66"/>
      <c r="K41" s="66"/>
      <c r="L41" s="22"/>
      <c r="M41" s="22"/>
      <c r="N41" s="22"/>
      <c r="O41" s="22"/>
      <c r="P41" s="22"/>
      <c r="Q41" s="22"/>
      <c r="R41" s="23"/>
      <c r="T41" s="6">
        <v>38</v>
      </c>
      <c r="U41" s="6">
        <v>1</v>
      </c>
      <c r="V41" s="6">
        <f t="shared" si="1"/>
        <v>60</v>
      </c>
    </row>
    <row r="42" spans="2:22">
      <c r="B42" s="2">
        <v>12</v>
      </c>
      <c r="C42" s="2" t="s">
        <v>9</v>
      </c>
      <c r="D42" s="2" t="s">
        <v>77</v>
      </c>
      <c r="H42" s="22"/>
      <c r="I42" s="22"/>
      <c r="J42" s="66"/>
      <c r="K42" s="66"/>
      <c r="L42" s="22"/>
      <c r="M42" s="22"/>
      <c r="N42" s="22"/>
      <c r="O42" s="22"/>
      <c r="P42" s="22"/>
      <c r="Q42" s="22"/>
      <c r="R42" s="23"/>
      <c r="T42" s="6">
        <v>39</v>
      </c>
      <c r="U42" s="6">
        <v>1</v>
      </c>
      <c r="V42" s="6">
        <f t="shared" si="1"/>
        <v>61</v>
      </c>
    </row>
    <row r="43" spans="2:22">
      <c r="B43" s="2">
        <v>13</v>
      </c>
      <c r="C43" s="2" t="s">
        <v>10</v>
      </c>
      <c r="D43" s="2" t="s">
        <v>78</v>
      </c>
      <c r="H43" s="22"/>
      <c r="I43" s="22"/>
      <c r="J43" s="66"/>
      <c r="K43" s="66"/>
      <c r="L43" s="22"/>
      <c r="M43" s="22"/>
      <c r="N43" s="22"/>
      <c r="O43" s="22"/>
      <c r="P43" s="22"/>
      <c r="Q43" s="22"/>
      <c r="R43" s="23"/>
      <c r="T43" s="6">
        <v>40</v>
      </c>
      <c r="U43" s="6">
        <v>4</v>
      </c>
      <c r="V43" s="6">
        <f t="shared" si="1"/>
        <v>65</v>
      </c>
    </row>
    <row r="44" spans="2:22">
      <c r="B44" s="2">
        <v>14</v>
      </c>
      <c r="C44" s="2" t="s">
        <v>43</v>
      </c>
      <c r="D44" s="2" t="s">
        <v>51</v>
      </c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T44" s="6">
        <v>41</v>
      </c>
      <c r="U44" s="6">
        <v>1</v>
      </c>
      <c r="V44" s="6">
        <f t="shared" si="1"/>
        <v>66</v>
      </c>
    </row>
    <row r="45" spans="2:22">
      <c r="B45" s="2">
        <v>15</v>
      </c>
      <c r="C45" s="2" t="s">
        <v>42</v>
      </c>
      <c r="D45" s="2" t="s">
        <v>52</v>
      </c>
      <c r="T45" s="6">
        <v>42</v>
      </c>
      <c r="U45" s="6">
        <v>1</v>
      </c>
      <c r="V45" s="6">
        <f t="shared" si="1"/>
        <v>67</v>
      </c>
    </row>
    <row r="46" spans="2:22">
      <c r="B46" s="2">
        <v>16</v>
      </c>
      <c r="C46" s="2" t="s">
        <v>44</v>
      </c>
      <c r="D46" s="2" t="s">
        <v>53</v>
      </c>
      <c r="T46" s="6">
        <v>43</v>
      </c>
      <c r="U46" s="6">
        <v>1</v>
      </c>
      <c r="V46" s="6">
        <f t="shared" si="1"/>
        <v>68</v>
      </c>
    </row>
    <row r="47" spans="2:22">
      <c r="B47" s="2">
        <v>17</v>
      </c>
      <c r="C47" s="2" t="s">
        <v>45</v>
      </c>
      <c r="D47" s="2" t="s">
        <v>54</v>
      </c>
      <c r="T47" s="6">
        <v>44</v>
      </c>
      <c r="U47" s="6">
        <v>1</v>
      </c>
      <c r="V47" s="6">
        <f t="shared" si="1"/>
        <v>69</v>
      </c>
    </row>
    <row r="48" spans="2:22">
      <c r="B48" s="2">
        <v>18</v>
      </c>
      <c r="C48" s="2" t="s">
        <v>46</v>
      </c>
      <c r="D48" s="2" t="s">
        <v>55</v>
      </c>
      <c r="T48" s="6">
        <v>45</v>
      </c>
      <c r="U48" s="6">
        <v>3</v>
      </c>
      <c r="V48" s="6">
        <f t="shared" si="1"/>
        <v>72</v>
      </c>
    </row>
    <row r="49" spans="2:22">
      <c r="B49" s="2">
        <v>19</v>
      </c>
      <c r="C49" s="2" t="s">
        <v>47</v>
      </c>
      <c r="D49" s="2" t="s">
        <v>56</v>
      </c>
      <c r="T49" s="6">
        <v>46</v>
      </c>
      <c r="U49" s="6">
        <v>1</v>
      </c>
      <c r="V49" s="6">
        <f t="shared" si="1"/>
        <v>73</v>
      </c>
    </row>
    <row r="50" spans="2:22">
      <c r="B50" s="2">
        <v>20</v>
      </c>
      <c r="C50" s="2" t="s">
        <v>48</v>
      </c>
      <c r="D50" s="2" t="s">
        <v>57</v>
      </c>
      <c r="T50" s="6">
        <v>47</v>
      </c>
      <c r="U50" s="6">
        <v>1</v>
      </c>
      <c r="V50" s="6">
        <f t="shared" si="1"/>
        <v>74</v>
      </c>
    </row>
    <row r="51" spans="2:22">
      <c r="B51" s="2">
        <v>21</v>
      </c>
      <c r="C51" s="2" t="s">
        <v>82</v>
      </c>
      <c r="D51" s="2" t="s">
        <v>58</v>
      </c>
      <c r="T51" s="6">
        <v>48</v>
      </c>
      <c r="U51" s="6">
        <v>1</v>
      </c>
      <c r="V51" s="6">
        <f t="shared" si="1"/>
        <v>75</v>
      </c>
    </row>
    <row r="52" spans="2:22">
      <c r="B52" s="2">
        <v>22</v>
      </c>
      <c r="C52" s="2" t="s">
        <v>49</v>
      </c>
      <c r="D52" s="2" t="s">
        <v>59</v>
      </c>
      <c r="T52" s="18">
        <v>49</v>
      </c>
      <c r="U52" s="18">
        <v>1</v>
      </c>
      <c r="V52" s="18">
        <f t="shared" si="1"/>
        <v>76</v>
      </c>
    </row>
    <row r="53" spans="2:22">
      <c r="T53" s="6">
        <v>50</v>
      </c>
      <c r="U53" s="6">
        <v>4</v>
      </c>
      <c r="V53" s="6">
        <f t="shared" si="1"/>
        <v>80</v>
      </c>
    </row>
    <row r="55" spans="2:22">
      <c r="T55" s="13"/>
      <c r="U55" s="13"/>
      <c r="V55" s="13"/>
    </row>
    <row r="56" spans="2:22">
      <c r="T56" s="13"/>
      <c r="U56" s="13"/>
      <c r="V56" s="13"/>
    </row>
    <row r="57" spans="2:22">
      <c r="T57" s="13"/>
      <c r="U57" s="13"/>
      <c r="V57" s="13"/>
    </row>
    <row r="58" spans="2:22">
      <c r="T58" s="13"/>
      <c r="U58" s="13"/>
      <c r="V58" s="13"/>
    </row>
    <row r="59" spans="2:22">
      <c r="T59" s="13"/>
      <c r="U59" s="13"/>
      <c r="V59" s="13"/>
    </row>
    <row r="60" spans="2:22">
      <c r="T60" s="13"/>
      <c r="U60" s="13"/>
      <c r="V60" s="13"/>
    </row>
    <row r="61" spans="2:22">
      <c r="T61" s="13"/>
      <c r="U61" s="13"/>
      <c r="V61" s="13"/>
    </row>
    <row r="62" spans="2:22">
      <c r="T62" s="13"/>
      <c r="U62" s="13"/>
      <c r="V62" s="13"/>
    </row>
  </sheetData>
  <mergeCells count="31">
    <mergeCell ref="J42:K42"/>
    <mergeCell ref="J43:K43"/>
    <mergeCell ref="J41:K41"/>
    <mergeCell ref="B19:E19"/>
    <mergeCell ref="B24:C24"/>
    <mergeCell ref="B23:C23"/>
    <mergeCell ref="B22:C22"/>
    <mergeCell ref="B21:C21"/>
    <mergeCell ref="B25:C25"/>
    <mergeCell ref="B26:C26"/>
    <mergeCell ref="E6:Q6"/>
    <mergeCell ref="D5:D6"/>
    <mergeCell ref="B7:B12"/>
    <mergeCell ref="B13:B18"/>
    <mergeCell ref="B6:C6"/>
    <mergeCell ref="F3:F4"/>
    <mergeCell ref="H3:H4"/>
    <mergeCell ref="T2:V2"/>
    <mergeCell ref="O5:P5"/>
    <mergeCell ref="Q5:R5"/>
    <mergeCell ref="E2:R2"/>
    <mergeCell ref="J3:J4"/>
    <mergeCell ref="L3:L4"/>
    <mergeCell ref="N3:N4"/>
    <mergeCell ref="P3:P4"/>
    <mergeCell ref="R3:R4"/>
    <mergeCell ref="E5:F5"/>
    <mergeCell ref="G5:H5"/>
    <mergeCell ref="I5:J5"/>
    <mergeCell ref="K5:L5"/>
    <mergeCell ref="M5:N5"/>
  </mergeCells>
  <pageMargins left="0.7" right="0.7" top="0.75" bottom="0.75" header="0.3" footer="0.3"/>
  <pageSetup paperSize="9" orientation="portrait" horizontalDpi="1200" verticalDpi="1200" r:id="rId1"/>
  <legacyDrawing r:id="rId2"/>
  <controls>
    <control shapeId="1025" r:id="rId3" name="RUN_BATT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_ITEMS"/>
  <dimension ref="A1:W26"/>
  <sheetViews>
    <sheetView zoomScale="85" zoomScaleNormal="85" workbookViewId="0">
      <pane ySplit="1" topLeftCell="A2" activePane="bottomLeft" state="frozen"/>
      <selection pane="bottomLeft" activeCell="R9" sqref="R9"/>
    </sheetView>
  </sheetViews>
  <sheetFormatPr defaultRowHeight="21.75" customHeight="1"/>
  <cols>
    <col min="3" max="3" width="18.5703125" customWidth="1"/>
    <col min="4" max="4" width="29.140625" customWidth="1"/>
    <col min="5" max="5" width="12.7109375" customWidth="1"/>
    <col min="6" max="20" width="13.28515625" customWidth="1"/>
  </cols>
  <sheetData>
    <row r="1" spans="1:23" s="13" customFormat="1" ht="21.75" customHeight="1">
      <c r="A1" s="19">
        <f>COLUMN()</f>
        <v>1</v>
      </c>
      <c r="B1" s="19">
        <f>COLUMN()</f>
        <v>2</v>
      </c>
      <c r="C1" s="19">
        <f>COLUMN()</f>
        <v>3</v>
      </c>
      <c r="D1" s="19">
        <f>COLUMN()</f>
        <v>4</v>
      </c>
      <c r="E1" s="19"/>
      <c r="F1" s="19">
        <f>COLUMN()</f>
        <v>6</v>
      </c>
      <c r="G1" s="19">
        <f>COLUMN()</f>
        <v>7</v>
      </c>
      <c r="H1" s="19">
        <f>COLUMN()</f>
        <v>8</v>
      </c>
      <c r="I1" s="19">
        <f>COLUMN()</f>
        <v>9</v>
      </c>
      <c r="J1" s="19">
        <f>COLUMN()</f>
        <v>10</v>
      </c>
      <c r="K1" s="19">
        <f>COLUMN()</f>
        <v>11</v>
      </c>
      <c r="L1" s="19">
        <f>COLUMN()</f>
        <v>12</v>
      </c>
      <c r="M1" s="19">
        <f>COLUMN()</f>
        <v>13</v>
      </c>
      <c r="N1" s="19">
        <f>COLUMN()</f>
        <v>14</v>
      </c>
      <c r="O1" s="19">
        <f>COLUMN()</f>
        <v>15</v>
      </c>
      <c r="P1" s="19">
        <f>COLUMN()</f>
        <v>16</v>
      </c>
      <c r="Q1" s="19">
        <f>COLUMN()</f>
        <v>17</v>
      </c>
      <c r="R1" s="19">
        <f>COLUMN()</f>
        <v>18</v>
      </c>
      <c r="S1" s="19">
        <f>COLUMN()</f>
        <v>19</v>
      </c>
      <c r="T1" s="19">
        <f>COLUMN()</f>
        <v>20</v>
      </c>
      <c r="U1" s="19">
        <f>COLUMN()</f>
        <v>21</v>
      </c>
      <c r="V1" s="19">
        <f>COLUMN()</f>
        <v>22</v>
      </c>
      <c r="W1" s="19">
        <f>COLUMN()</f>
        <v>23</v>
      </c>
    </row>
    <row r="2" spans="1:23" s="22" customFormat="1" ht="21.75" customHeight="1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1:23" s="36" customFormat="1" ht="21.75" customHeight="1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</row>
    <row r="4" spans="1:23" s="37" customFormat="1" ht="21.75" customHeight="1">
      <c r="B4" s="38">
        <f>COLUMN()-2</f>
        <v>0</v>
      </c>
      <c r="C4" s="38">
        <f t="shared" ref="C4:T4" si="0">COLUMN()-2</f>
        <v>1</v>
      </c>
      <c r="D4" s="38">
        <f t="shared" si="0"/>
        <v>2</v>
      </c>
      <c r="E4" s="38">
        <f t="shared" si="0"/>
        <v>3</v>
      </c>
      <c r="F4" s="38">
        <f t="shared" si="0"/>
        <v>4</v>
      </c>
      <c r="G4" s="38">
        <f t="shared" si="0"/>
        <v>5</v>
      </c>
      <c r="H4" s="38">
        <f t="shared" si="0"/>
        <v>6</v>
      </c>
      <c r="I4" s="38">
        <f t="shared" si="0"/>
        <v>7</v>
      </c>
      <c r="J4" s="38">
        <f t="shared" si="0"/>
        <v>8</v>
      </c>
      <c r="K4" s="38">
        <v>9</v>
      </c>
      <c r="L4" s="38">
        <f t="shared" si="0"/>
        <v>10</v>
      </c>
      <c r="M4" s="38">
        <f t="shared" si="0"/>
        <v>11</v>
      </c>
      <c r="N4" s="38">
        <f t="shared" si="0"/>
        <v>12</v>
      </c>
      <c r="O4" s="38">
        <f t="shared" si="0"/>
        <v>13</v>
      </c>
      <c r="P4" s="38">
        <f t="shared" si="0"/>
        <v>14</v>
      </c>
      <c r="Q4" s="38">
        <f t="shared" si="0"/>
        <v>15</v>
      </c>
      <c r="R4" s="38">
        <f t="shared" si="0"/>
        <v>16</v>
      </c>
      <c r="S4" s="38">
        <f t="shared" si="0"/>
        <v>17</v>
      </c>
      <c r="T4" s="38">
        <f t="shared" si="0"/>
        <v>18</v>
      </c>
    </row>
    <row r="5" spans="1:23" s="37" customFormat="1" ht="21.75" customHeight="1">
      <c r="B5" s="71" t="s">
        <v>76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</row>
    <row r="6" spans="1:23" s="37" customFormat="1" ht="21.75" customHeight="1">
      <c r="B6" s="39" t="s">
        <v>33</v>
      </c>
      <c r="C6" s="39" t="s">
        <v>34</v>
      </c>
      <c r="D6" s="40" t="s">
        <v>41</v>
      </c>
      <c r="E6" s="40" t="s">
        <v>79</v>
      </c>
      <c r="F6" s="41" t="s">
        <v>0</v>
      </c>
      <c r="G6" s="41" t="s">
        <v>1</v>
      </c>
      <c r="H6" s="41" t="s">
        <v>2</v>
      </c>
      <c r="I6" s="41" t="s">
        <v>3</v>
      </c>
      <c r="J6" s="41" t="s">
        <v>4</v>
      </c>
      <c r="K6" s="41" t="s">
        <v>5</v>
      </c>
      <c r="L6" s="41" t="s">
        <v>11</v>
      </c>
      <c r="M6" s="41" t="s">
        <v>15</v>
      </c>
      <c r="N6" s="41" t="s">
        <v>12</v>
      </c>
      <c r="O6" s="41" t="s">
        <v>13</v>
      </c>
      <c r="P6" s="41" t="s">
        <v>14</v>
      </c>
      <c r="Q6" s="41" t="s">
        <v>82</v>
      </c>
      <c r="R6" s="41" t="s">
        <v>80</v>
      </c>
      <c r="S6" s="41" t="s">
        <v>64</v>
      </c>
      <c r="T6" s="41" t="s">
        <v>31</v>
      </c>
    </row>
    <row r="7" spans="1:23" s="37" customFormat="1" ht="21.75" customHeight="1">
      <c r="B7" s="42">
        <f>ROW()</f>
        <v>7</v>
      </c>
      <c r="C7" s="43" t="s">
        <v>37</v>
      </c>
      <c r="D7" s="44" t="str">
        <f>TAB!C13</f>
        <v>Рукопашный бой</v>
      </c>
      <c r="E7" s="44">
        <f>IF(D7="Владение Битами",9,IF(D7="Владение кастетами",10,IF(D7="Владение ножами",11,8)))</f>
        <v>8</v>
      </c>
      <c r="F7" s="42">
        <v>0</v>
      </c>
      <c r="G7" s="42">
        <v>0</v>
      </c>
      <c r="H7" s="42"/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2">
        <v>0</v>
      </c>
      <c r="Q7" s="42">
        <v>0</v>
      </c>
      <c r="R7" s="42">
        <v>0</v>
      </c>
      <c r="S7" s="42">
        <v>0</v>
      </c>
      <c r="T7" s="42">
        <v>0</v>
      </c>
    </row>
    <row r="8" spans="1:23" s="37" customFormat="1" ht="21.75" customHeight="1">
      <c r="B8" s="42">
        <f>ROW()</f>
        <v>8</v>
      </c>
      <c r="C8" s="43" t="s">
        <v>63</v>
      </c>
      <c r="D8" s="45" t="s">
        <v>61</v>
      </c>
      <c r="E8" s="44">
        <f>IF(D8="Владение Битами",9,IF(D8="Владение кастетами",10,IF(D8="Владение ножами",11,8)))</f>
        <v>9</v>
      </c>
      <c r="F8" s="46">
        <v>3</v>
      </c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>
        <v>100</v>
      </c>
      <c r="S8" s="46"/>
      <c r="T8" s="47">
        <v>0.05</v>
      </c>
    </row>
    <row r="9" spans="1:23" s="37" customFormat="1" ht="21.75" customHeight="1">
      <c r="B9" s="42">
        <f>ROW()</f>
        <v>9</v>
      </c>
      <c r="C9" s="43" t="s">
        <v>27</v>
      </c>
      <c r="D9" s="45" t="s">
        <v>7</v>
      </c>
      <c r="E9" s="44">
        <f t="shared" ref="E9:E26" si="1">IF(D9="Владение Битами",9,IF(D9="Владение кастетами",10,IF(D9="Владение ножами",11,8)))</f>
        <v>10</v>
      </c>
      <c r="F9" s="46">
        <v>35</v>
      </c>
      <c r="G9" s="46"/>
      <c r="H9" s="46"/>
      <c r="I9" s="46"/>
      <c r="J9" s="46">
        <v>-3</v>
      </c>
      <c r="K9" s="46"/>
      <c r="L9" s="46"/>
      <c r="M9" s="46"/>
      <c r="N9" s="46"/>
      <c r="O9" s="46"/>
      <c r="P9" s="46"/>
      <c r="Q9" s="46"/>
      <c r="R9" s="46">
        <v>8</v>
      </c>
      <c r="S9" s="46"/>
      <c r="T9" s="47">
        <v>0.15</v>
      </c>
    </row>
    <row r="10" spans="1:23" s="37" customFormat="1" ht="21.75" customHeight="1">
      <c r="B10" s="42">
        <f>ROW()</f>
        <v>10</v>
      </c>
      <c r="C10" s="43" t="s">
        <v>28</v>
      </c>
      <c r="D10" s="45" t="s">
        <v>8</v>
      </c>
      <c r="E10" s="44">
        <f t="shared" si="1"/>
        <v>11</v>
      </c>
      <c r="F10" s="46">
        <v>3</v>
      </c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>
        <v>2</v>
      </c>
      <c r="S10" s="46"/>
      <c r="T10" s="47">
        <v>0.1</v>
      </c>
    </row>
    <row r="11" spans="1:23" s="37" customFormat="1" ht="21.75" customHeight="1">
      <c r="B11" s="42">
        <f>ROW()</f>
        <v>11</v>
      </c>
      <c r="C11" s="43" t="s">
        <v>29</v>
      </c>
      <c r="D11" s="45" t="s">
        <v>8</v>
      </c>
      <c r="E11" s="44">
        <f t="shared" si="1"/>
        <v>11</v>
      </c>
      <c r="F11" s="46">
        <v>35</v>
      </c>
      <c r="G11" s="46"/>
      <c r="H11" s="46"/>
      <c r="I11" s="46"/>
      <c r="J11" s="46">
        <v>-7</v>
      </c>
      <c r="K11" s="46"/>
      <c r="L11" s="46"/>
      <c r="M11" s="46"/>
      <c r="N11" s="46"/>
      <c r="O11" s="46"/>
      <c r="P11" s="46"/>
      <c r="Q11" s="46"/>
      <c r="R11" s="46">
        <v>10</v>
      </c>
      <c r="S11" s="46"/>
      <c r="T11" s="47">
        <v>0.5</v>
      </c>
    </row>
    <row r="12" spans="1:23" s="37" customFormat="1" ht="21.75" customHeight="1">
      <c r="B12" s="42">
        <f>ROW()</f>
        <v>12</v>
      </c>
      <c r="C12" s="43" t="s">
        <v>62</v>
      </c>
      <c r="D12" s="45" t="s">
        <v>7</v>
      </c>
      <c r="E12" s="44">
        <f t="shared" si="1"/>
        <v>10</v>
      </c>
      <c r="F12" s="46">
        <v>0</v>
      </c>
      <c r="G12" s="46">
        <v>0</v>
      </c>
      <c r="H12" s="46"/>
      <c r="I12" s="46">
        <v>0</v>
      </c>
      <c r="J12" s="46">
        <v>0</v>
      </c>
      <c r="K12" s="46">
        <v>0</v>
      </c>
      <c r="L12" s="46"/>
      <c r="M12" s="46"/>
      <c r="N12" s="46"/>
      <c r="O12" s="46"/>
      <c r="P12" s="46"/>
      <c r="Q12" s="46"/>
      <c r="R12" s="46">
        <v>0</v>
      </c>
      <c r="S12" s="46"/>
      <c r="T12" s="46">
        <v>0</v>
      </c>
    </row>
    <row r="13" spans="1:23" s="37" customFormat="1" ht="21.75" customHeight="1">
      <c r="B13" s="42">
        <f>ROW()</f>
        <v>13</v>
      </c>
      <c r="C13" s="43" t="s">
        <v>27</v>
      </c>
      <c r="D13" s="45" t="s">
        <v>7</v>
      </c>
      <c r="E13" s="44">
        <f t="shared" si="1"/>
        <v>10</v>
      </c>
      <c r="F13" s="46">
        <v>3</v>
      </c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>
        <v>1</v>
      </c>
      <c r="S13" s="46"/>
      <c r="T13" s="47">
        <v>0.05</v>
      </c>
    </row>
    <row r="14" spans="1:23" s="37" customFormat="1" ht="21.75" customHeight="1">
      <c r="B14" s="42">
        <f>ROW()</f>
        <v>14</v>
      </c>
      <c r="C14" s="43" t="s">
        <v>28</v>
      </c>
      <c r="D14" s="45" t="s">
        <v>8</v>
      </c>
      <c r="E14" s="44">
        <f t="shared" si="1"/>
        <v>11</v>
      </c>
      <c r="F14" s="46">
        <v>35</v>
      </c>
      <c r="G14" s="46"/>
      <c r="H14" s="46"/>
      <c r="I14" s="46"/>
      <c r="J14" s="46">
        <v>-3</v>
      </c>
      <c r="K14" s="46"/>
      <c r="L14" s="46"/>
      <c r="M14" s="46"/>
      <c r="N14" s="46"/>
      <c r="O14" s="46"/>
      <c r="P14" s="46"/>
      <c r="Q14" s="46"/>
      <c r="R14" s="46">
        <v>8</v>
      </c>
      <c r="S14" s="46"/>
      <c r="T14" s="47">
        <v>0.15</v>
      </c>
    </row>
    <row r="15" spans="1:23" s="37" customFormat="1" ht="21.75" customHeight="1">
      <c r="B15" s="42">
        <f>ROW()</f>
        <v>15</v>
      </c>
      <c r="C15" s="43" t="s">
        <v>29</v>
      </c>
      <c r="D15" s="45" t="s">
        <v>8</v>
      </c>
      <c r="E15" s="44">
        <f t="shared" si="1"/>
        <v>11</v>
      </c>
      <c r="F15" s="46">
        <v>3</v>
      </c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>
        <v>2</v>
      </c>
      <c r="S15" s="46"/>
      <c r="T15" s="47">
        <v>0.1</v>
      </c>
    </row>
    <row r="16" spans="1:23" s="37" customFormat="1" ht="21.75" customHeight="1">
      <c r="B16" s="42">
        <f>ROW()</f>
        <v>16</v>
      </c>
      <c r="C16" s="43" t="s">
        <v>62</v>
      </c>
      <c r="D16" s="45" t="s">
        <v>7</v>
      </c>
      <c r="E16" s="44">
        <f t="shared" si="1"/>
        <v>10</v>
      </c>
      <c r="F16" s="46">
        <v>35</v>
      </c>
      <c r="G16" s="46"/>
      <c r="H16" s="46"/>
      <c r="I16" s="46"/>
      <c r="J16" s="46">
        <v>-7</v>
      </c>
      <c r="K16" s="46"/>
      <c r="L16" s="46"/>
      <c r="M16" s="46"/>
      <c r="N16" s="46"/>
      <c r="O16" s="46"/>
      <c r="P16" s="46"/>
      <c r="Q16" s="46"/>
      <c r="R16" s="46">
        <v>10</v>
      </c>
      <c r="S16" s="46"/>
      <c r="T16" s="47">
        <v>0.5</v>
      </c>
    </row>
    <row r="17" spans="2:20" s="37" customFormat="1" ht="21.75" customHeight="1">
      <c r="B17" s="42">
        <f>ROW()</f>
        <v>17</v>
      </c>
      <c r="C17" s="43" t="s">
        <v>27</v>
      </c>
      <c r="D17" s="45" t="s">
        <v>7</v>
      </c>
      <c r="E17" s="44">
        <f t="shared" si="1"/>
        <v>10</v>
      </c>
      <c r="F17" s="46">
        <v>0</v>
      </c>
      <c r="G17" s="46">
        <v>0</v>
      </c>
      <c r="H17" s="46"/>
      <c r="I17" s="46">
        <v>0</v>
      </c>
      <c r="J17" s="46">
        <v>0</v>
      </c>
      <c r="K17" s="46">
        <v>0</v>
      </c>
      <c r="L17" s="46"/>
      <c r="M17" s="46"/>
      <c r="N17" s="46"/>
      <c r="O17" s="46"/>
      <c r="P17" s="46"/>
      <c r="Q17" s="46"/>
      <c r="R17" s="46">
        <v>0</v>
      </c>
      <c r="S17" s="46"/>
      <c r="T17" s="46">
        <v>0</v>
      </c>
    </row>
    <row r="18" spans="2:20" s="37" customFormat="1" ht="21.75" customHeight="1">
      <c r="B18" s="42">
        <f>ROW()</f>
        <v>18</v>
      </c>
      <c r="C18" s="43" t="s">
        <v>28</v>
      </c>
      <c r="D18" s="45" t="s">
        <v>8</v>
      </c>
      <c r="E18" s="44">
        <f t="shared" si="1"/>
        <v>11</v>
      </c>
      <c r="F18" s="46">
        <v>3</v>
      </c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>
        <v>1</v>
      </c>
      <c r="S18" s="46"/>
      <c r="T18" s="47">
        <v>0.05</v>
      </c>
    </row>
    <row r="19" spans="2:20" s="37" customFormat="1" ht="21.75" customHeight="1">
      <c r="B19" s="42">
        <f>ROW()</f>
        <v>19</v>
      </c>
      <c r="C19" s="43" t="s">
        <v>29</v>
      </c>
      <c r="D19" s="45" t="s">
        <v>8</v>
      </c>
      <c r="E19" s="44">
        <f t="shared" si="1"/>
        <v>11</v>
      </c>
      <c r="F19" s="46">
        <v>35</v>
      </c>
      <c r="G19" s="46"/>
      <c r="H19" s="46"/>
      <c r="I19" s="46"/>
      <c r="J19" s="46">
        <v>-3</v>
      </c>
      <c r="K19" s="46"/>
      <c r="L19" s="46"/>
      <c r="M19" s="46"/>
      <c r="N19" s="46"/>
      <c r="O19" s="46"/>
      <c r="P19" s="46"/>
      <c r="Q19" s="46"/>
      <c r="R19" s="46">
        <v>8</v>
      </c>
      <c r="S19" s="46"/>
      <c r="T19" s="47">
        <v>0.15</v>
      </c>
    </row>
    <row r="20" spans="2:20" s="37" customFormat="1" ht="21.75" customHeight="1">
      <c r="B20" s="42">
        <f>ROW()</f>
        <v>20</v>
      </c>
      <c r="C20" s="43" t="s">
        <v>62</v>
      </c>
      <c r="D20" s="45" t="s">
        <v>7</v>
      </c>
      <c r="E20" s="44">
        <f t="shared" si="1"/>
        <v>10</v>
      </c>
      <c r="F20" s="46">
        <v>3</v>
      </c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>
        <v>2</v>
      </c>
      <c r="S20" s="46"/>
      <c r="T20" s="47">
        <v>0.1</v>
      </c>
    </row>
    <row r="21" spans="2:20" s="37" customFormat="1" ht="21.75" customHeight="1">
      <c r="B21" s="42">
        <f>ROW()</f>
        <v>21</v>
      </c>
      <c r="C21" s="43" t="s">
        <v>27</v>
      </c>
      <c r="D21" s="45" t="s">
        <v>7</v>
      </c>
      <c r="E21" s="44">
        <f t="shared" si="1"/>
        <v>10</v>
      </c>
      <c r="F21" s="46">
        <v>35</v>
      </c>
      <c r="G21" s="46"/>
      <c r="H21" s="46"/>
      <c r="I21" s="46"/>
      <c r="J21" s="46">
        <v>-7</v>
      </c>
      <c r="K21" s="46"/>
      <c r="L21" s="46"/>
      <c r="M21" s="46"/>
      <c r="N21" s="46"/>
      <c r="O21" s="46"/>
      <c r="P21" s="46"/>
      <c r="Q21" s="46"/>
      <c r="R21" s="46">
        <v>10</v>
      </c>
      <c r="S21" s="46"/>
      <c r="T21" s="47">
        <v>0.5</v>
      </c>
    </row>
    <row r="22" spans="2:20" s="37" customFormat="1" ht="21.75" customHeight="1">
      <c r="B22" s="42">
        <f>ROW()</f>
        <v>22</v>
      </c>
      <c r="C22" s="43" t="s">
        <v>28</v>
      </c>
      <c r="D22" s="45" t="s">
        <v>8</v>
      </c>
      <c r="E22" s="44">
        <f t="shared" si="1"/>
        <v>11</v>
      </c>
      <c r="F22" s="46">
        <v>0</v>
      </c>
      <c r="G22" s="46">
        <v>0</v>
      </c>
      <c r="H22" s="46"/>
      <c r="I22" s="46">
        <v>0</v>
      </c>
      <c r="J22" s="46">
        <v>0</v>
      </c>
      <c r="K22" s="46">
        <v>0</v>
      </c>
      <c r="L22" s="46"/>
      <c r="M22" s="46"/>
      <c r="N22" s="46"/>
      <c r="O22" s="46"/>
      <c r="P22" s="46"/>
      <c r="Q22" s="46"/>
      <c r="R22" s="46">
        <v>0</v>
      </c>
      <c r="S22" s="46"/>
      <c r="T22" s="46">
        <v>0</v>
      </c>
    </row>
    <row r="23" spans="2:20" s="37" customFormat="1" ht="21.75" customHeight="1">
      <c r="B23" s="42">
        <f>ROW()</f>
        <v>23</v>
      </c>
      <c r="C23" s="43" t="s">
        <v>29</v>
      </c>
      <c r="D23" s="45" t="s">
        <v>8</v>
      </c>
      <c r="E23" s="44">
        <f t="shared" si="1"/>
        <v>11</v>
      </c>
      <c r="F23" s="46">
        <v>3</v>
      </c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>
        <v>1</v>
      </c>
      <c r="S23" s="46"/>
      <c r="T23" s="47">
        <v>0.05</v>
      </c>
    </row>
    <row r="24" spans="2:20" s="37" customFormat="1" ht="21.75" customHeight="1">
      <c r="B24" s="42">
        <f>ROW()</f>
        <v>24</v>
      </c>
      <c r="C24" s="43" t="s">
        <v>62</v>
      </c>
      <c r="D24" s="45" t="s">
        <v>7</v>
      </c>
      <c r="E24" s="44">
        <f t="shared" si="1"/>
        <v>10</v>
      </c>
      <c r="F24" s="46">
        <v>35</v>
      </c>
      <c r="G24" s="46"/>
      <c r="H24" s="46"/>
      <c r="I24" s="46"/>
      <c r="J24" s="46">
        <v>-3</v>
      </c>
      <c r="K24" s="46"/>
      <c r="L24" s="46"/>
      <c r="M24" s="46"/>
      <c r="N24" s="46"/>
      <c r="O24" s="46"/>
      <c r="P24" s="46"/>
      <c r="Q24" s="46"/>
      <c r="R24" s="46">
        <v>8</v>
      </c>
      <c r="S24" s="46"/>
      <c r="T24" s="47">
        <v>0.15</v>
      </c>
    </row>
    <row r="25" spans="2:20" s="37" customFormat="1" ht="21.75" customHeight="1">
      <c r="B25" s="42">
        <f>ROW()</f>
        <v>25</v>
      </c>
      <c r="C25" s="43" t="s">
        <v>27</v>
      </c>
      <c r="D25" s="45" t="s">
        <v>7</v>
      </c>
      <c r="E25" s="44">
        <f t="shared" si="1"/>
        <v>10</v>
      </c>
      <c r="F25" s="46">
        <v>3</v>
      </c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>
        <v>2</v>
      </c>
      <c r="S25" s="46"/>
      <c r="T25" s="47">
        <v>0.1</v>
      </c>
    </row>
    <row r="26" spans="2:20" s="37" customFormat="1" ht="21.75" customHeight="1">
      <c r="B26" s="42">
        <f>ROW()</f>
        <v>26</v>
      </c>
      <c r="C26" s="43" t="s">
        <v>28</v>
      </c>
      <c r="D26" s="45" t="s">
        <v>8</v>
      </c>
      <c r="E26" s="44">
        <f t="shared" si="1"/>
        <v>11</v>
      </c>
      <c r="F26" s="46">
        <v>35</v>
      </c>
      <c r="G26" s="46"/>
      <c r="H26" s="46"/>
      <c r="I26" s="46"/>
      <c r="J26" s="46">
        <v>-7</v>
      </c>
      <c r="K26" s="46"/>
      <c r="L26" s="46"/>
      <c r="M26" s="46"/>
      <c r="N26" s="46"/>
      <c r="O26" s="46"/>
      <c r="P26" s="46"/>
      <c r="Q26" s="46"/>
      <c r="R26" s="46">
        <v>10</v>
      </c>
      <c r="S26" s="46"/>
      <c r="T26" s="47">
        <v>0.5</v>
      </c>
    </row>
  </sheetData>
  <mergeCells count="1">
    <mergeCell ref="B5:T5"/>
  </mergeCells>
  <dataValidations count="1">
    <dataValidation type="list" allowBlank="1" showInputMessage="1" showErrorMessage="1" sqref="D8:D26">
      <formula1>TAB!$C$14:$C$16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_LOG"/>
  <dimension ref="B2:I3"/>
  <sheetViews>
    <sheetView workbookViewId="0">
      <selection activeCell="I24" sqref="I24"/>
    </sheetView>
  </sheetViews>
  <sheetFormatPr defaultRowHeight="15"/>
  <cols>
    <col min="1" max="1" width="14.28515625" customWidth="1"/>
    <col min="2" max="9" width="15.5703125" customWidth="1"/>
  </cols>
  <sheetData>
    <row r="2" spans="2:9">
      <c r="B2" s="27">
        <v>1</v>
      </c>
      <c r="C2" s="27"/>
      <c r="D2" s="27"/>
      <c r="E2" s="27"/>
      <c r="F2" s="28"/>
      <c r="G2" s="28"/>
      <c r="H2" s="28">
        <v>1</v>
      </c>
      <c r="I2" s="28"/>
    </row>
    <row r="3" spans="2:9">
      <c r="B3" s="27"/>
      <c r="C3" s="27"/>
      <c r="D3" s="27"/>
      <c r="E3" s="27">
        <v>1</v>
      </c>
      <c r="F3" s="28"/>
      <c r="G3" s="28"/>
      <c r="H3" s="28"/>
      <c r="I3" s="2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TAB</vt:lpstr>
      <vt:lpstr>ITEMS</vt:lpstr>
      <vt:lpstr>LOG</vt:lpstr>
      <vt:lpstr>base_act</vt:lpstr>
      <vt:lpstr>base_adg</vt:lpstr>
      <vt:lpstr>base_crt</vt:lpstr>
      <vt:lpstr>base_ctr</vt:lpstr>
      <vt:lpstr>base_ddg</vt:lpstr>
      <vt:lpstr>base_dmg</vt:lpstr>
      <vt:lpstr>base_lfe</vt:lpstr>
      <vt:lpstr>contr_mod</vt:lpstr>
      <vt:lpstr>crt_mod</vt:lpstr>
      <vt:lpstr>dam_dist</vt:lpstr>
      <vt:lpstr>levels</vt:lpstr>
      <vt:lpstr>TAB!max_char</vt:lpstr>
      <vt:lpstr>max_skill</vt:lpstr>
      <vt:lpstr>stat_sum</vt:lpstr>
      <vt:lpstr>var</vt:lpstr>
      <vt:lpstr>weapons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Adil Minbashiyev</dc:creator>
  <cp:lastModifiedBy>Adil Minbashiyev</cp:lastModifiedBy>
  <dcterms:created xsi:type="dcterms:W3CDTF">2020-03-25T02:17:08Z</dcterms:created>
  <dcterms:modified xsi:type="dcterms:W3CDTF">2020-04-01T01:46:19Z</dcterms:modified>
</cp:coreProperties>
</file>